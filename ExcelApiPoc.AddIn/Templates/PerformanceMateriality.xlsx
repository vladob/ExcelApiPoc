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dit\Temp\20261007\"/>
    </mc:Choice>
  </mc:AlternateContent>
  <xr:revisionPtr revIDLastSave="0" documentId="8_{E84D253C-830B-4660-A2F5-F547D29ACE82}" xr6:coauthVersionLast="47" xr6:coauthVersionMax="47" xr10:uidLastSave="{00000000-0000-0000-0000-000000000000}"/>
  <bookViews>
    <workbookView xWindow="23205" yWindow="1005" windowWidth="30885" windowHeight="14265" tabRatio="787" xr2:uid="{0E8999B5-9C1C-4355-8B5D-046054F24E5A}"/>
  </bookViews>
  <sheets>
    <sheet name="Metadata" sheetId="23" r:id="rId1"/>
    <sheet name="ISA320" sheetId="24" r:id="rId2"/>
  </sheets>
  <definedNames>
    <definedName name="Hodnota">'ISA320'!$B$49</definedName>
    <definedName name="SelectedSignificance">'ISA320'!$B$48</definedName>
    <definedName name="SelectionForSource">TableSources[Zdroj]</definedName>
    <definedName name="ValidateSource">ValuesOverview[Zdroj]</definedName>
    <definedName name="VyznamnostPercent">'ISA320'!$B$52</definedName>
    <definedName name="Zdroj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" i="23" l="1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B44" i="24"/>
  <c r="H44" i="24" s="1"/>
  <c r="B43" i="24"/>
  <c r="G43" i="24" s="1"/>
  <c r="B42" i="24"/>
  <c r="H42" i="24" s="1"/>
  <c r="B32" i="24"/>
  <c r="H32" i="24" s="1"/>
  <c r="B31" i="24"/>
  <c r="H31" i="24" s="1"/>
  <c r="B30" i="24"/>
  <c r="H30" i="24" s="1"/>
  <c r="B20" i="24"/>
  <c r="G20" i="24" s="1"/>
  <c r="B19" i="24"/>
  <c r="G19" i="24" s="1"/>
  <c r="B18" i="24"/>
  <c r="G18" i="24" s="1"/>
  <c r="G42" i="24" l="1"/>
  <c r="F43" i="24"/>
  <c r="H43" i="24"/>
  <c r="F44" i="24"/>
  <c r="F42" i="24"/>
  <c r="G44" i="24"/>
  <c r="F30" i="24"/>
  <c r="G30" i="24"/>
  <c r="F31" i="24"/>
  <c r="G31" i="24"/>
  <c r="F32" i="24"/>
  <c r="G32" i="24"/>
  <c r="F18" i="24"/>
  <c r="F19" i="24"/>
  <c r="F20" i="24"/>
  <c r="B41" i="24"/>
  <c r="H41" i="24" s="1"/>
  <c r="B40" i="24"/>
  <c r="H40" i="24" s="1"/>
  <c r="B39" i="24"/>
  <c r="H39" i="24" s="1"/>
  <c r="B38" i="24"/>
  <c r="H38" i="24" s="1"/>
  <c r="B29" i="24"/>
  <c r="H29" i="24" s="1"/>
  <c r="B28" i="24"/>
  <c r="G28" i="24" s="1"/>
  <c r="B27" i="24"/>
  <c r="H27" i="24" s="1"/>
  <c r="B26" i="24"/>
  <c r="H26" i="24" s="1"/>
  <c r="B51" i="24" s="1"/>
  <c r="B17" i="24"/>
  <c r="G17" i="24" s="1"/>
  <c r="B16" i="24"/>
  <c r="F16" i="24" s="1"/>
  <c r="B15" i="24"/>
  <c r="F15" i="24" s="1"/>
  <c r="B14" i="24"/>
  <c r="F14" i="24" s="1"/>
  <c r="F38" i="24" l="1"/>
  <c r="F39" i="24"/>
  <c r="F40" i="24"/>
  <c r="F41" i="24"/>
  <c r="G38" i="24"/>
  <c r="G39" i="24"/>
  <c r="G40" i="24"/>
  <c r="G41" i="24"/>
  <c r="F26" i="24"/>
  <c r="B49" i="24" s="1" a="1"/>
  <c r="B49" i="24" s="1"/>
  <c r="B53" i="24" s="1"/>
  <c r="F28" i="24"/>
  <c r="G27" i="24"/>
  <c r="H28" i="24"/>
  <c r="F27" i="24"/>
  <c r="F29" i="24"/>
  <c r="G26" i="24"/>
  <c r="G29" i="24"/>
  <c r="G14" i="24"/>
  <c r="G15" i="24"/>
  <c r="G16" i="24"/>
  <c r="F17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<sst xmlns="http://schemas.openxmlformats.org/spreadsheetml/2006/main" count="290" uniqueCount="124">
  <si>
    <t>Náklady</t>
  </si>
  <si>
    <t>1</t>
  </si>
  <si>
    <t>4</t>
  </si>
  <si>
    <t>Účtové skupiny 50 - 58 celkom súčet (r. 001 + r. 006 + r. 011 + r. 017 + r. 021 + r. 029 + r. 040 + r. 050 + r. 055)</t>
  </si>
  <si>
    <t>Účtová trieda 6 celkom súčet (r. 066 + r. 070 + r. 075 + r. 080 + r. 084 + r. 091 + r. 101 + r. 111 + r. 116 + r. 126)</t>
  </si>
  <si>
    <t>Výsledok hospodárenia po zdanení r. 137 mínus (r. 138, r. 139) (+/-)</t>
  </si>
  <si>
    <t>Vlastné imanie r. 120 + r. 123 + r. 126 + r. 129</t>
  </si>
  <si>
    <t>Účtové skupiny 50 - 58 celkom súčet (r.001 + r.006 + r.011 + r.017 + r.021 + r.029 + r.040 + r.049 + r.054)</t>
  </si>
  <si>
    <t>Účtová trieda 6 celkom súčet (r. 065 + r. 069 + r. 074 + r. 079 + r. 083 + r. 090 + r. 100 + r. 109 + r. 114 + r. 124)</t>
  </si>
  <si>
    <t>Výsledok hospodárenia pred zdanením (r. 134 mínus r. 064) (+/-)</t>
  </si>
  <si>
    <t>SPOLU MAJETOK r. 002 + r. 033 + r. 110 + r. 114</t>
  </si>
  <si>
    <t>Vlastné imanie r. 117 + r. 120 + r. 123</t>
  </si>
  <si>
    <t>SPOLU MAJETOK r. 002 + r. 030 + r. 061</t>
  </si>
  <si>
    <t>Vlastné imanie r. 068 + r. 073 + r. 080 + r. 084 + r. 087</t>
  </si>
  <si>
    <t>Výroba r. 05 + r. 06 + r. 07</t>
  </si>
  <si>
    <t>Výrobná spotreba r. 09 + r. 10</t>
  </si>
  <si>
    <t>Osobné náklady súčet (r. 13 až 16)</t>
  </si>
  <si>
    <t>Výsledok hospodárenia za účtovné obdobie pred zdanením (+/-) [r. 47 + r. 54]</t>
  </si>
  <si>
    <t>Účtové skupiny 50 - 58 súčet (r.001 + r.006 + r.011 + r.017 + r.021 + r.029 + r.040 + r.049 + r.054)</t>
  </si>
  <si>
    <t>Účtová trieda 6 súčet (r. 065 + r. 069 + r. 074 + r. 079 + r. 083 + r. 090 + r. 100 + r. 109 + r. 114 + r. 124)</t>
  </si>
  <si>
    <t>SPOLU MAJETOK r. 002 + r. 035 + r. 113 + r. 117</t>
  </si>
  <si>
    <t>Účtové skupiny 50 - 58 súčet (r. 001 + r. 006 + r. 011 + r. 017 + r. 021 + r. 029 + r. 040 + r. 050 + r. 055)</t>
  </si>
  <si>
    <t>Účtová trieda 6 súčet (r. 066 + r. 070 + r. 075 + r. 080 + r. 084 + r. 091 + r. 101 + r. 111 + r. 116 + r. 126)</t>
  </si>
  <si>
    <t>Výsledok hospodárenia pred zdanením (r. 136 mínus r. 065) (+/-)</t>
  </si>
  <si>
    <t xml:space="preserve">Aktíva netto </t>
  </si>
  <si>
    <t>Vlastné imanie</t>
  </si>
  <si>
    <t xml:space="preserve">Príjmová časť rozpočtu </t>
  </si>
  <si>
    <t>Výnosy (6x)</t>
  </si>
  <si>
    <t>Zdroj</t>
  </si>
  <si>
    <t>Nepoužívať</t>
  </si>
  <si>
    <t>Tabuľka: Prehľad hodnôt za bežné a predchádzajúce obdobie</t>
  </si>
  <si>
    <t>Bežné obdobie</t>
  </si>
  <si>
    <t>Predchádzajúce obdobie</t>
  </si>
  <si>
    <t>Tabuľka: Stanovenie a výpočet intervalu pre kritickú hranicu významnosti</t>
  </si>
  <si>
    <t>Navrhnuté percento</t>
  </si>
  <si>
    <t>Zvolené %</t>
  </si>
  <si>
    <t>Navrhnutá hranica</t>
  </si>
  <si>
    <t>Dolná %</t>
  </si>
  <si>
    <t>Horná %</t>
  </si>
  <si>
    <t>Kritická</t>
  </si>
  <si>
    <t>Dolná (€)</t>
  </si>
  <si>
    <t>Horná (€)</t>
  </si>
  <si>
    <t>Tabuľka: Celková významnosť: Aktuálny rok</t>
  </si>
  <si>
    <t>Stanovená hladina významnosti</t>
  </si>
  <si>
    <t>Kritická 100%</t>
  </si>
  <si>
    <t>Celková významnosť: Predchádzajúce obdobie</t>
  </si>
  <si>
    <t>Kritická 50%</t>
  </si>
  <si>
    <t>Kritická 5%</t>
  </si>
  <si>
    <t>Významnosť na vykonávanie</t>
  </si>
  <si>
    <t>Významnosť</t>
  </si>
  <si>
    <t>Hodnota</t>
  </si>
  <si>
    <t>Percento - stanovené</t>
  </si>
  <si>
    <t>Definovanie minimálnej chyby</t>
  </si>
  <si>
    <t>Hodnota z vykonávacej významnosti</t>
  </si>
  <si>
    <t>Hodnoty</t>
  </si>
  <si>
    <t>Vykonávacia významnosť (medzi 50 % a 75 %)</t>
  </si>
  <si>
    <t>Zisk pred zdanením</t>
  </si>
  <si>
    <t>Tržby</t>
  </si>
  <si>
    <t>Name</t>
  </si>
  <si>
    <t>Row</t>
  </si>
  <si>
    <t>Description</t>
  </si>
  <si>
    <t>136</t>
  </si>
  <si>
    <t>140</t>
  </si>
  <si>
    <t>TableName</t>
  </si>
  <si>
    <t>119</t>
  </si>
  <si>
    <t>65</t>
  </si>
  <si>
    <t>67</t>
  </si>
  <si>
    <t>8</t>
  </si>
  <si>
    <t>12</t>
  </si>
  <si>
    <t>59</t>
  </si>
  <si>
    <t>64</t>
  </si>
  <si>
    <t>134</t>
  </si>
  <si>
    <t>135</t>
  </si>
  <si>
    <t>116</t>
  </si>
  <si>
    <t>137</t>
  </si>
  <si>
    <t>11_1</t>
  </si>
  <si>
    <t>11_2</t>
  </si>
  <si>
    <t>12_1</t>
  </si>
  <si>
    <t>12_2</t>
  </si>
  <si>
    <t>21_1</t>
  </si>
  <si>
    <t>21_2</t>
  </si>
  <si>
    <t>22_1</t>
  </si>
  <si>
    <t>521_1</t>
  </si>
  <si>
    <t>521_2</t>
  </si>
  <si>
    <t>522_1</t>
  </si>
  <si>
    <t>522_2</t>
  </si>
  <si>
    <t>684_1</t>
  </si>
  <si>
    <t>684_2</t>
  </si>
  <si>
    <t>690_1</t>
  </si>
  <si>
    <t>690_2</t>
  </si>
  <si>
    <t>696_1</t>
  </si>
  <si>
    <t>696_2</t>
  </si>
  <si>
    <t>727_1</t>
  </si>
  <si>
    <t>727_2</t>
  </si>
  <si>
    <t>TemplateName</t>
  </si>
  <si>
    <t>MinistrySpecification</t>
  </si>
  <si>
    <t>Výkaz ziskov a strát Úč ROPO SFOV 2-01</t>
  </si>
  <si>
    <t>Výnosy</t>
  </si>
  <si>
    <t>Súvaha Úč ROPO SFOV 1-01</t>
  </si>
  <si>
    <t>Strana aktív</t>
  </si>
  <si>
    <t>Strana pasív</t>
  </si>
  <si>
    <t>MF/22110/2009-31</t>
  </si>
  <si>
    <t>Kons uj Úč ROPO OV 1-01</t>
  </si>
  <si>
    <t>Kons uj Úč ROPO OV 2-01</t>
  </si>
  <si>
    <t>Súvaha Úč POD 1-01</t>
  </si>
  <si>
    <t>MF/25947/1/2010</t>
  </si>
  <si>
    <t>Výkaz ziskov a strát Úč POD 2-01</t>
  </si>
  <si>
    <t>MF/24219/3/2008</t>
  </si>
  <si>
    <t>Výkaz ziskov a strát</t>
  </si>
  <si>
    <t>MF/19301/2012-31</t>
  </si>
  <si>
    <t>Kons S UJ VS Úč 1-01</t>
  </si>
  <si>
    <t>MF/21230/2014-31</t>
  </si>
  <si>
    <t>MF/21227/2014-31</t>
  </si>
  <si>
    <t>Kons VZaS UJ VS Úč 2-01</t>
  </si>
  <si>
    <t>NetAssets</t>
  </si>
  <si>
    <t>Equity</t>
  </si>
  <si>
    <t>RevenueSideBudget</t>
  </si>
  <si>
    <t>Revenues</t>
  </si>
  <si>
    <t>CostsExpenses</t>
  </si>
  <si>
    <t>ProfitBeforeTax</t>
  </si>
  <si>
    <t>SalesTurnover</t>
  </si>
  <si>
    <t>Source</t>
  </si>
  <si>
    <t>SignificanceSourceType_sk</t>
  </si>
  <si>
    <t>SignificanceSourceType_en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</si>
</sst>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%"/>
    <numFmt numFmtId="166" formatCode="&quot;&quot;\K\r\i\t\i\c\k\á\ &quot;&quot;0%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  <charset val="238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44" fontId="4" fillId="0" borderId="0" xfId="0" applyNumberFormat="1" applyFont="1"/>
    <xf numFmtId="164" fontId="0" fillId="0" borderId="0" xfId="0" applyNumberFormat="1"/>
    <xf numFmtId="44" fontId="0" fillId="0" borderId="0" xfId="0" applyNumberFormat="1"/>
    <xf numFmtId="0" fontId="1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Continuous" wrapText="1"/>
    </xf>
    <xf numFmtId="166" fontId="0" fillId="0" borderId="0" xfId="0" applyNumberFormat="1"/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Continuous" wrapText="1"/>
    </xf>
    <xf numFmtId="9" fontId="2" fillId="3" borderId="0" xfId="0" applyNumberFormat="1" applyFont="1" applyFill="1" applyAlignment="1">
      <alignment horizontal="center" wrapText="1"/>
    </xf>
    <xf numFmtId="9" fontId="2" fillId="3" borderId="0" xfId="0" applyNumberFormat="1" applyFont="1" applyFill="1" applyAlignment="1">
      <alignment horizontal="centerContinuous" wrapText="1"/>
    </xf>
    <xf numFmtId="0" fontId="0" fillId="2" borderId="1" xfId="0" applyFill="1" applyBorder="1"/>
    <xf numFmtId="0" fontId="0" fillId="0" borderId="1" xfId="0" applyBorder="1"/>
    <xf numFmtId="0" fontId="2" fillId="3" borderId="3" xfId="0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5" fillId="0" borderId="0" xfId="0" applyNumberFormat="1" applyFont="1" applyAlignment="1">
      <alignment horizontal="center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5" formatCode="0.0%"/>
    </dxf>
    <dxf>
      <numFmt numFmtId="165" formatCode="0.0%"/>
    </dxf>
    <dxf>
      <numFmt numFmtId="165" formatCode="0.0%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7B321AC7-BED5-4F3E-A57D-79BBCB191DA2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77D0BF7-E10A-4818-8774-A2B12132289C}" name="TableSources" displayName="TableSources" ref="A4:B11" totalsRowShown="0">
  <autoFilter ref="A4:B11" xr:uid="{E77D0BF7-E10A-4818-8774-A2B12132289C}"/>
  <tableColumns count="2">
    <tableColumn id="1" xr3:uid="{6BFD5A23-C871-492B-85B6-738E42A3B9FD}" name="Zdroj"/>
    <tableColumn id="2" xr3:uid="{64523B8A-A895-4E7F-B757-85FA0A2153D8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448B9-7A8B-48C7-B096-7D156A7BAA88}" name="ListOfTablesFull" displayName="ListOfTablesFull" ref="A14:H41" totalsRowShown="0">
  <autoFilter ref="A14:H41" xr:uid="{4B4448B9-7A8B-48C7-B096-7D156A7BAA88}"/>
  <sortState xmlns:xlrd2="http://schemas.microsoft.com/office/spreadsheetml/2017/richdata2" ref="A15:G41">
    <sortCondition ref="A4:A31"/>
  </sortState>
  <tableColumns count="8">
    <tableColumn id="1" xr3:uid="{9EEA91BE-1E01-4D29-94D5-1209CA3EB698}" name="Name" dataDxfId="7"/>
    <tableColumn id="2" xr3:uid="{D439B71C-84E7-46E0-ADB9-B7765C2C3B3C}" name="TemplateName" dataDxfId="6"/>
    <tableColumn id="3" xr3:uid="{96B7176B-B0A8-49EE-A40D-5DFE8C4C884C}" name="MinistrySpecification" dataDxfId="5"/>
    <tableColumn id="4" xr3:uid="{7A8DDC9B-658A-4727-991C-19EE3AC993A0}" name="TableName" dataDxfId="4"/>
    <tableColumn id="5" xr3:uid="{D0CABBD5-ABFA-4445-BD92-8093B919A0FF}" name="Row" dataDxfId="3"/>
    <tableColumn id="6" xr3:uid="{E7780CF1-AA71-46CE-B08C-E95FCF19137F}" name="Description" dataDxfId="2"/>
    <tableColumn id="7" xr3:uid="{148212D8-F1F8-4F38-A7C7-5D8419D7A318}" name="SignificanceSourceType_sk" dataDxfId="1"/>
    <tableColumn id="8" xr3:uid="{E956EDF2-9EBC-4650-8ABB-0ED561397985}" name="SignificanceSourceType_en" dataDxfId="0">
      <calculatedColumnFormula>_xlfn.XLOOKUP(ListOfTablesFull[[#This Row],[SignificanceSourceType_sk]],TableSources[Zdroj],TableSources[Source])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CFC38BA-D1D7-42C8-B6ED-A055F3F4B3C0}" name="ValuesOverview" displayName="ValuesOverview" ref="A2:C9" totalsRowShown="0">
  <autoFilter ref="A2:C9" xr:uid="{0CFC38BA-D1D7-42C8-B6ED-A055F3F4B3C0}"/>
  <tableColumns count="3">
    <tableColumn id="1" xr3:uid="{48EFF8B0-C79B-4300-8787-623FF0BDBADD}" name="Zdroj"/>
    <tableColumn id="2" xr3:uid="{01469AE4-A39E-42A4-83DF-092455725B99}" name="Bežné obdobie" dataDxfId="35"/>
    <tableColumn id="3" xr3:uid="{147C3DF1-38AF-4272-B5E7-F908F0222ED8}" name="Predchádzajúce obdobie" dataDxfId="34"/>
  </tableColumns>
  <tableStyleInfo name="TableStyleMedium2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6A85C4F-6271-42D1-81C4-EBCF0E0CB644}" name="CriticalThreshold" displayName="CriticalThreshold" ref="A13:G20" totalsRowShown="0" headerRowDxfId="33" dataDxfId="32" tableBorderDxfId="31">
  <autoFilter ref="A13:G20" xr:uid="{96A85C4F-6271-42D1-81C4-EBCF0E0CB644}"/>
  <tableColumns count="7">
    <tableColumn id="1" xr3:uid="{95FB7008-8DED-4D66-BB6E-30832018B1D8}" name="Zdroj"/>
    <tableColumn id="2" xr3:uid="{9C4A1186-B20F-45DE-8D1F-3EE838B1FF64}" name="Bežné obdobie" dataDxfId="30"/>
    <tableColumn id="3" xr3:uid="{DEF81716-FE79-48A7-B164-CDB5AB282374}" name="Dolná %" dataDxfId="29"/>
    <tableColumn id="4" xr3:uid="{AE6F41E0-C1DC-4DA6-B0CD-1043B0668E11}" name="Horná %" dataDxfId="28"/>
    <tableColumn id="5" xr3:uid="{01582625-B290-46C8-B929-1F9555F86AF0}" name="Kritická" dataDxfId="27"/>
    <tableColumn id="6" xr3:uid="{630C7D15-3467-4B33-8F1F-B5C100AA9DF2}" name="Dolná (€)" dataDxfId="26"/>
    <tableColumn id="7" xr3:uid="{3C3B0556-4030-4F7F-AFD5-620494437AA2}" name="Horná (€)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9C3AF1-CC97-4C20-A921-42497FEEFC18}" name="SignificanceCurrentYear" displayName="SignificanceCurrentYear" ref="A25:H32" totalsRowShown="0">
  <autoFilter ref="A25:H32" xr:uid="{359C3AF1-CC97-4C20-A921-42497FEEFC18}"/>
  <tableColumns count="8">
    <tableColumn id="1" xr3:uid="{C507544F-1202-4A56-8E53-302E32F833CB}" name="Zdroj"/>
    <tableColumn id="2" xr3:uid="{128054DF-12D0-40CC-8E67-4301A0668C08}" name="Bežné obdobie" dataDxfId="24"/>
    <tableColumn id="3" xr3:uid="{D520C558-A4B7-41AE-8575-6A47281B58FC}" name="Dolná %" dataDxfId="23"/>
    <tableColumn id="4" xr3:uid="{93DEDF1D-E0F5-4A67-BE6E-F2E8807E814D}" name="Horná %" dataDxfId="22"/>
    <tableColumn id="5" xr3:uid="{EEFC42FF-2DAF-411E-AD0F-9D2CD920C300}" name="Kritická" dataDxfId="21"/>
    <tableColumn id="6" xr3:uid="{36490F89-246C-4355-A672-292A66F724B1}" name="Kritická 100%" dataDxfId="20"/>
    <tableColumn id="7" xr3:uid="{7E956D58-F662-463E-B4C7-19743DDFA36E}" name="Kritická 50%" dataDxfId="19"/>
    <tableColumn id="8" xr3:uid="{CD2B4E3F-57BA-46AF-A86D-6B4F8753CEC8}" name="Kritická 5%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5762384-F9B5-488E-9B1E-B57ABC650C37}" name="SignificancePreviousYear" displayName="SignificancePreviousYear" ref="A37:H44" totalsRowShown="0">
  <autoFilter ref="A37:H44" xr:uid="{25762384-F9B5-488E-9B1E-B57ABC650C37}"/>
  <tableColumns count="8">
    <tableColumn id="1" xr3:uid="{EA86DD92-3915-45FC-A818-BE726EFE4354}" name="Zdroj"/>
    <tableColumn id="2" xr3:uid="{57BCD731-0AC4-4442-A6E6-675DFCB7B5D3}" name="Bežné obdobie" dataDxfId="17"/>
    <tableColumn id="3" xr3:uid="{A03D44B2-B559-4944-8B5D-AAD32B7B0D53}" name="Dolná %" dataDxfId="16"/>
    <tableColumn id="4" xr3:uid="{2DD846CC-9EE8-47D2-AE4B-E7F049547805}" name="Horná %" dataDxfId="15"/>
    <tableColumn id="5" xr3:uid="{1A4CC250-0B57-43E5-8620-501CBE516648}" name="Kritická" dataDxfId="14"/>
    <tableColumn id="6" xr3:uid="{46F1059F-C28F-4355-8F98-93AB04E1AEBD}" name="Kritická 100%" dataDxfId="13"/>
    <tableColumn id="7" xr3:uid="{FD3B4AC4-9F85-4DF5-B552-913D2931174A}" name="Kritická 50%" dataDxfId="12"/>
    <tableColumn id="8" xr3:uid="{9AEF5680-9EFB-44E1-B1A9-22FA5EA8EE28}" name="Kritická 5%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8CF95DF-E50D-48EE-8CF0-D96C48F4BB1E}" name="ImplementationSignificance" displayName="ImplementationSignificance" ref="A47:B53" totalsRowShown="0" headerRowBorderDxfId="10" tableBorderDxfId="9">
  <autoFilter ref="A47:B53" xr:uid="{78CF95DF-E50D-48EE-8CF0-D96C48F4BB1E}">
    <filterColumn colId="0" hiddenButton="1"/>
    <filterColumn colId="1" hiddenButton="1"/>
  </autoFilter>
  <tableColumns count="2">
    <tableColumn id="1" xr3:uid="{FE5E691E-A374-40EE-AC42-0D0D5D46ADDB}" name="Významnosť na vykonávanie" dataDxfId="8"/>
    <tableColumn id="2" xr3:uid="{DA38E546-0C61-47DA-A617-CCD97B267C06}" name="Hodno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85B4-514A-4795-9C62-02F58E5E3358}">
  <dimension ref="A1:H41"/>
  <sheetViews>
    <sheetView tabSelected="1" topLeftCell="A10" workbookViewId="0">
      <selection activeCell="K21" sqref="K21"/>
    </sheetView>
  </sheetViews>
  <sheetFormatPr defaultRowHeight="15" x14ac:dyDescent="0.25"/>
  <cols>
    <col min="1" max="1" width="22" bestFit="1" customWidth="1"/>
    <col min="2" max="2" width="18.28515625" bestFit="1" customWidth="1"/>
  </cols>
  <sheetData>
    <row r="1" spans="1:8" x14ac:dyDescent="0.25">
      <c r="A1" t="s">
        <v>29</v>
      </c>
    </row>
    <row r="4" spans="1:8" x14ac:dyDescent="0.25">
      <c r="A4" t="s">
        <v>28</v>
      </c>
      <c r="B4" t="s">
        <v>121</v>
      </c>
    </row>
    <row r="5" spans="1:8" x14ac:dyDescent="0.25">
      <c r="A5" t="s">
        <v>24</v>
      </c>
      <c r="B5" t="s">
        <v>114</v>
      </c>
    </row>
    <row r="6" spans="1:8" x14ac:dyDescent="0.25">
      <c r="A6" t="s">
        <v>25</v>
      </c>
      <c r="B6" t="s">
        <v>115</v>
      </c>
    </row>
    <row r="7" spans="1:8" x14ac:dyDescent="0.25">
      <c r="A7" t="s">
        <v>26</v>
      </c>
      <c r="B7" t="s">
        <v>116</v>
      </c>
    </row>
    <row r="8" spans="1:8" x14ac:dyDescent="0.25">
      <c r="A8" t="s">
        <v>27</v>
      </c>
      <c r="B8" t="s">
        <v>117</v>
      </c>
    </row>
    <row r="9" spans="1:8" x14ac:dyDescent="0.25">
      <c r="A9" t="s">
        <v>0</v>
      </c>
      <c r="B9" t="s">
        <v>118</v>
      </c>
    </row>
    <row r="10" spans="1:8" x14ac:dyDescent="0.25">
      <c r="A10" t="s">
        <v>56</v>
      </c>
      <c r="B10" t="s">
        <v>119</v>
      </c>
    </row>
    <row r="11" spans="1:8" x14ac:dyDescent="0.25">
      <c r="A11" t="s">
        <v>57</v>
      </c>
      <c r="B11" t="s">
        <v>120</v>
      </c>
    </row>
    <row r="14" spans="1:8" x14ac:dyDescent="0.25">
      <c r="A14" t="s">
        <v>58</v>
      </c>
      <c r="B14" t="s">
        <v>94</v>
      </c>
      <c r="C14" t="s">
        <v>95</v>
      </c>
      <c r="D14" t="s">
        <v>63</v>
      </c>
      <c r="E14" t="s">
        <v>59</v>
      </c>
      <c r="F14" t="s">
        <v>60</v>
      </c>
      <c r="G14" t="s">
        <v>122</v>
      </c>
      <c r="H14" t="s">
        <v>123</v>
      </c>
    </row>
    <row r="15" spans="1:8" x14ac:dyDescent="0.25">
      <c r="A15" t="s">
        <v>75</v>
      </c>
      <c r="B15" t="s">
        <v>102</v>
      </c>
      <c r="C15" t="s">
        <v>101</v>
      </c>
      <c r="D15" t="s">
        <v>99</v>
      </c>
      <c r="E15" t="s">
        <v>61</v>
      </c>
      <c r="F15" t="s">
        <v>4</v>
      </c>
      <c r="G15" t="s">
        <v>27</v>
      </c>
      <c r="H15" t="str">
        <f>_xlfn.XLOOKUP(ListOfTablesFull[[#This Row],[SignificanceSourceType_sk]],TableSources[Zdroj],TableSources[Source])</f>
        <v>Revenues</v>
      </c>
    </row>
    <row r="16" spans="1:8" x14ac:dyDescent="0.25">
      <c r="A16" t="s">
        <v>75</v>
      </c>
      <c r="B16" t="s">
        <v>102</v>
      </c>
      <c r="C16" t="s">
        <v>101</v>
      </c>
      <c r="D16" t="s">
        <v>99</v>
      </c>
      <c r="E16" t="s">
        <v>62</v>
      </c>
      <c r="F16" t="s">
        <v>5</v>
      </c>
      <c r="G16" t="s">
        <v>56</v>
      </c>
      <c r="H16" t="str">
        <f>_xlfn.XLOOKUP(ListOfTablesFull[[#This Row],[SignificanceSourceType_sk]],TableSources[Zdroj],TableSources[Source])</f>
        <v>ProfitBeforeTax</v>
      </c>
    </row>
    <row r="17" spans="1:8" x14ac:dyDescent="0.25">
      <c r="A17" t="s">
        <v>76</v>
      </c>
      <c r="B17" t="s">
        <v>102</v>
      </c>
      <c r="C17" t="s">
        <v>101</v>
      </c>
      <c r="D17" t="s">
        <v>100</v>
      </c>
      <c r="E17" t="s">
        <v>64</v>
      </c>
      <c r="F17" t="s">
        <v>6</v>
      </c>
      <c r="G17" t="s">
        <v>25</v>
      </c>
      <c r="H17" t="str">
        <f>_xlfn.XLOOKUP(ListOfTablesFull[[#This Row],[SignificanceSourceType_sk]],TableSources[Zdroj],TableSources[Source])</f>
        <v>Equity</v>
      </c>
    </row>
    <row r="18" spans="1:8" x14ac:dyDescent="0.25">
      <c r="A18" t="s">
        <v>77</v>
      </c>
      <c r="B18" t="s">
        <v>103</v>
      </c>
      <c r="C18" t="s">
        <v>101</v>
      </c>
      <c r="D18" t="s">
        <v>0</v>
      </c>
      <c r="E18" t="s">
        <v>65</v>
      </c>
      <c r="F18" t="s">
        <v>3</v>
      </c>
      <c r="G18" t="s">
        <v>0</v>
      </c>
      <c r="H18" t="str">
        <f>_xlfn.XLOOKUP(ListOfTablesFull[[#This Row],[SignificanceSourceType_sk]],TableSources[Zdroj],TableSources[Source])</f>
        <v>CostsExpenses</v>
      </c>
    </row>
    <row r="19" spans="1:8" x14ac:dyDescent="0.25">
      <c r="A19" t="s">
        <v>78</v>
      </c>
      <c r="B19" t="s">
        <v>103</v>
      </c>
      <c r="C19" t="s">
        <v>101</v>
      </c>
      <c r="D19" t="s">
        <v>97</v>
      </c>
      <c r="E19" t="s">
        <v>61</v>
      </c>
      <c r="F19" t="s">
        <v>4</v>
      </c>
      <c r="G19" t="s">
        <v>27</v>
      </c>
      <c r="H19" t="str">
        <f>_xlfn.XLOOKUP(ListOfTablesFull[[#This Row],[SignificanceSourceType_sk]],TableSources[Zdroj],TableSources[Source])</f>
        <v>Revenues</v>
      </c>
    </row>
    <row r="20" spans="1:8" x14ac:dyDescent="0.25">
      <c r="A20" t="s">
        <v>78</v>
      </c>
      <c r="B20" t="s">
        <v>103</v>
      </c>
      <c r="C20" t="s">
        <v>101</v>
      </c>
      <c r="D20" t="s">
        <v>97</v>
      </c>
      <c r="E20" t="s">
        <v>62</v>
      </c>
      <c r="F20" t="s">
        <v>5</v>
      </c>
      <c r="G20" t="s">
        <v>56</v>
      </c>
      <c r="H20" t="str">
        <f>_xlfn.XLOOKUP(ListOfTablesFull[[#This Row],[SignificanceSourceType_sk]],TableSources[Zdroj],TableSources[Source])</f>
        <v>ProfitBeforeTax</v>
      </c>
    </row>
    <row r="21" spans="1:8" x14ac:dyDescent="0.25">
      <c r="A21" t="s">
        <v>79</v>
      </c>
      <c r="B21" t="s">
        <v>104</v>
      </c>
      <c r="C21" t="s">
        <v>105</v>
      </c>
      <c r="D21" t="s">
        <v>99</v>
      </c>
      <c r="E21" t="s">
        <v>1</v>
      </c>
      <c r="F21" t="s">
        <v>12</v>
      </c>
      <c r="G21" t="s">
        <v>24</v>
      </c>
      <c r="H21" t="str">
        <f>_xlfn.XLOOKUP(ListOfTablesFull[[#This Row],[SignificanceSourceType_sk]],TableSources[Zdroj],TableSources[Source])</f>
        <v>NetAssets</v>
      </c>
    </row>
    <row r="22" spans="1:8" x14ac:dyDescent="0.25">
      <c r="A22" t="s">
        <v>80</v>
      </c>
      <c r="B22" t="s">
        <v>104</v>
      </c>
      <c r="C22" t="s">
        <v>105</v>
      </c>
      <c r="D22" t="s">
        <v>100</v>
      </c>
      <c r="E22" t="s">
        <v>66</v>
      </c>
      <c r="F22" t="s">
        <v>13</v>
      </c>
      <c r="G22" t="s">
        <v>25</v>
      </c>
      <c r="H22" t="str">
        <f>_xlfn.XLOOKUP(ListOfTablesFull[[#This Row],[SignificanceSourceType_sk]],TableSources[Zdroj],TableSources[Source])</f>
        <v>Equity</v>
      </c>
    </row>
    <row r="23" spans="1:8" x14ac:dyDescent="0.25">
      <c r="A23" t="s">
        <v>81</v>
      </c>
      <c r="B23" t="s">
        <v>106</v>
      </c>
      <c r="C23" t="s">
        <v>107</v>
      </c>
      <c r="D23" t="s">
        <v>108</v>
      </c>
      <c r="E23" t="s">
        <v>2</v>
      </c>
      <c r="F23" t="s">
        <v>14</v>
      </c>
      <c r="G23" t="s">
        <v>57</v>
      </c>
      <c r="H23" t="str">
        <f>_xlfn.XLOOKUP(ListOfTablesFull[[#This Row],[SignificanceSourceType_sk]],TableSources[Zdroj],TableSources[Source])</f>
        <v>SalesTurnover</v>
      </c>
    </row>
    <row r="24" spans="1:8" x14ac:dyDescent="0.25">
      <c r="A24" t="s">
        <v>81</v>
      </c>
      <c r="B24" t="s">
        <v>106</v>
      </c>
      <c r="C24" t="s">
        <v>107</v>
      </c>
      <c r="D24" t="s">
        <v>108</v>
      </c>
      <c r="E24" t="s">
        <v>67</v>
      </c>
      <c r="F24" t="s">
        <v>15</v>
      </c>
      <c r="G24" t="s">
        <v>0</v>
      </c>
      <c r="H24" t="str">
        <f>_xlfn.XLOOKUP(ListOfTablesFull[[#This Row],[SignificanceSourceType_sk]],TableSources[Zdroj],TableSources[Source])</f>
        <v>CostsExpenses</v>
      </c>
    </row>
    <row r="25" spans="1:8" x14ac:dyDescent="0.25">
      <c r="A25" t="s">
        <v>81</v>
      </c>
      <c r="B25" t="s">
        <v>106</v>
      </c>
      <c r="C25" t="s">
        <v>107</v>
      </c>
      <c r="D25" t="s">
        <v>108</v>
      </c>
      <c r="E25" t="s">
        <v>68</v>
      </c>
      <c r="F25" t="s">
        <v>16</v>
      </c>
      <c r="G25" t="s">
        <v>0</v>
      </c>
      <c r="H25" t="str">
        <f>_xlfn.XLOOKUP(ListOfTablesFull[[#This Row],[SignificanceSourceType_sk]],TableSources[Zdroj],TableSources[Source])</f>
        <v>CostsExpenses</v>
      </c>
    </row>
    <row r="26" spans="1:8" x14ac:dyDescent="0.25">
      <c r="A26" t="s">
        <v>81</v>
      </c>
      <c r="B26" t="s">
        <v>106</v>
      </c>
      <c r="C26" t="s">
        <v>107</v>
      </c>
      <c r="D26" t="s">
        <v>108</v>
      </c>
      <c r="E26" t="s">
        <v>69</v>
      </c>
      <c r="F26" t="s">
        <v>17</v>
      </c>
      <c r="G26" t="s">
        <v>56</v>
      </c>
      <c r="H26" t="str">
        <f>_xlfn.XLOOKUP(ListOfTablesFull[[#This Row],[SignificanceSourceType_sk]],TableSources[Zdroj],TableSources[Source])</f>
        <v>ProfitBeforeTax</v>
      </c>
    </row>
    <row r="27" spans="1:8" x14ac:dyDescent="0.25">
      <c r="A27" t="s">
        <v>82</v>
      </c>
      <c r="B27" t="s">
        <v>96</v>
      </c>
      <c r="C27" t="s">
        <v>109</v>
      </c>
      <c r="D27" t="s">
        <v>0</v>
      </c>
      <c r="E27" t="s">
        <v>70</v>
      </c>
      <c r="F27" t="s">
        <v>7</v>
      </c>
      <c r="G27" t="s">
        <v>0</v>
      </c>
      <c r="H27" t="str">
        <f>_xlfn.XLOOKUP(ListOfTablesFull[[#This Row],[SignificanceSourceType_sk]],TableSources[Zdroj],TableSources[Source])</f>
        <v>CostsExpenses</v>
      </c>
    </row>
    <row r="28" spans="1:8" x14ac:dyDescent="0.25">
      <c r="A28" t="s">
        <v>83</v>
      </c>
      <c r="B28" t="s">
        <v>96</v>
      </c>
      <c r="C28" t="s">
        <v>109</v>
      </c>
      <c r="D28" t="s">
        <v>97</v>
      </c>
      <c r="E28" t="s">
        <v>71</v>
      </c>
      <c r="F28" t="s">
        <v>8</v>
      </c>
      <c r="G28" t="s">
        <v>27</v>
      </c>
      <c r="H28" t="str">
        <f>_xlfn.XLOOKUP(ListOfTablesFull[[#This Row],[SignificanceSourceType_sk]],TableSources[Zdroj],TableSources[Source])</f>
        <v>Revenues</v>
      </c>
    </row>
    <row r="29" spans="1:8" x14ac:dyDescent="0.25">
      <c r="A29" t="s">
        <v>83</v>
      </c>
      <c r="B29" t="s">
        <v>96</v>
      </c>
      <c r="C29" t="s">
        <v>109</v>
      </c>
      <c r="D29" t="s">
        <v>97</v>
      </c>
      <c r="E29" t="s">
        <v>72</v>
      </c>
      <c r="F29" t="s">
        <v>9</v>
      </c>
      <c r="G29" t="s">
        <v>56</v>
      </c>
      <c r="H29" t="str">
        <f>_xlfn.XLOOKUP(ListOfTablesFull[[#This Row],[SignificanceSourceType_sk]],TableSources[Zdroj],TableSources[Source])</f>
        <v>ProfitBeforeTax</v>
      </c>
    </row>
    <row r="30" spans="1:8" x14ac:dyDescent="0.25">
      <c r="A30" t="s">
        <v>84</v>
      </c>
      <c r="B30" t="s">
        <v>98</v>
      </c>
      <c r="C30" t="s">
        <v>109</v>
      </c>
      <c r="D30" t="s">
        <v>99</v>
      </c>
      <c r="E30" t="s">
        <v>1</v>
      </c>
      <c r="F30" t="s">
        <v>10</v>
      </c>
      <c r="G30" t="s">
        <v>24</v>
      </c>
      <c r="H30" t="str">
        <f>_xlfn.XLOOKUP(ListOfTablesFull[[#This Row],[SignificanceSourceType_sk]],TableSources[Zdroj],TableSources[Source])</f>
        <v>NetAssets</v>
      </c>
    </row>
    <row r="31" spans="1:8" x14ac:dyDescent="0.25">
      <c r="A31" t="s">
        <v>85</v>
      </c>
      <c r="B31" t="s">
        <v>98</v>
      </c>
      <c r="C31" t="s">
        <v>109</v>
      </c>
      <c r="D31" t="s">
        <v>100</v>
      </c>
      <c r="E31" t="s">
        <v>73</v>
      </c>
      <c r="F31" t="s">
        <v>11</v>
      </c>
      <c r="G31" t="s">
        <v>25</v>
      </c>
      <c r="H31" t="str">
        <f>_xlfn.XLOOKUP(ListOfTablesFull[[#This Row],[SignificanceSourceType_sk]],TableSources[Zdroj],TableSources[Source])</f>
        <v>Equity</v>
      </c>
    </row>
    <row r="32" spans="1:8" x14ac:dyDescent="0.25">
      <c r="A32" t="s">
        <v>86</v>
      </c>
      <c r="B32" t="s">
        <v>110</v>
      </c>
      <c r="C32" t="s">
        <v>111</v>
      </c>
      <c r="D32" t="s">
        <v>99</v>
      </c>
      <c r="E32" t="s">
        <v>1</v>
      </c>
      <c r="F32" t="s">
        <v>20</v>
      </c>
      <c r="G32" t="s">
        <v>24</v>
      </c>
      <c r="H32" t="str">
        <f>_xlfn.XLOOKUP(ListOfTablesFull[[#This Row],[SignificanceSourceType_sk]],TableSources[Zdroj],TableSources[Source])</f>
        <v>NetAssets</v>
      </c>
    </row>
    <row r="33" spans="1:8" x14ac:dyDescent="0.25">
      <c r="A33" t="s">
        <v>87</v>
      </c>
      <c r="B33" t="s">
        <v>110</v>
      </c>
      <c r="C33" t="s">
        <v>111</v>
      </c>
      <c r="D33" t="s">
        <v>100</v>
      </c>
      <c r="E33" t="s">
        <v>64</v>
      </c>
      <c r="F33" t="s">
        <v>6</v>
      </c>
      <c r="G33" t="s">
        <v>25</v>
      </c>
      <c r="H33" t="str">
        <f>_xlfn.XLOOKUP(ListOfTablesFull[[#This Row],[SignificanceSourceType_sk]],TableSources[Zdroj],TableSources[Source])</f>
        <v>Equity</v>
      </c>
    </row>
    <row r="34" spans="1:8" x14ac:dyDescent="0.25">
      <c r="A34" t="s">
        <v>88</v>
      </c>
      <c r="B34" t="s">
        <v>98</v>
      </c>
      <c r="C34" t="s">
        <v>112</v>
      </c>
      <c r="D34" t="s">
        <v>99</v>
      </c>
      <c r="E34" t="s">
        <v>1</v>
      </c>
      <c r="F34" t="s">
        <v>10</v>
      </c>
      <c r="G34" t="s">
        <v>24</v>
      </c>
      <c r="H34" t="str">
        <f>_xlfn.XLOOKUP(ListOfTablesFull[[#This Row],[SignificanceSourceType_sk]],TableSources[Zdroj],TableSources[Source])</f>
        <v>NetAssets</v>
      </c>
    </row>
    <row r="35" spans="1:8" x14ac:dyDescent="0.25">
      <c r="A35" t="s">
        <v>89</v>
      </c>
      <c r="B35" t="s">
        <v>98</v>
      </c>
      <c r="C35" t="s">
        <v>112</v>
      </c>
      <c r="D35" t="s">
        <v>100</v>
      </c>
      <c r="E35" t="s">
        <v>73</v>
      </c>
      <c r="F35" t="s">
        <v>11</v>
      </c>
      <c r="G35" t="s">
        <v>25</v>
      </c>
      <c r="H35" t="str">
        <f>_xlfn.XLOOKUP(ListOfTablesFull[[#This Row],[SignificanceSourceType_sk]],TableSources[Zdroj],TableSources[Source])</f>
        <v>Equity</v>
      </c>
    </row>
    <row r="36" spans="1:8" x14ac:dyDescent="0.25">
      <c r="A36" t="s">
        <v>90</v>
      </c>
      <c r="B36" t="s">
        <v>113</v>
      </c>
      <c r="C36" t="s">
        <v>111</v>
      </c>
      <c r="D36" t="s">
        <v>0</v>
      </c>
      <c r="E36" t="s">
        <v>65</v>
      </c>
      <c r="F36" t="s">
        <v>21</v>
      </c>
      <c r="G36" t="s">
        <v>0</v>
      </c>
      <c r="H36" t="str">
        <f>_xlfn.XLOOKUP(ListOfTablesFull[[#This Row],[SignificanceSourceType_sk]],TableSources[Zdroj],TableSources[Source])</f>
        <v>CostsExpenses</v>
      </c>
    </row>
    <row r="37" spans="1:8" x14ac:dyDescent="0.25">
      <c r="A37" t="s">
        <v>91</v>
      </c>
      <c r="B37" t="s">
        <v>113</v>
      </c>
      <c r="C37" t="s">
        <v>111</v>
      </c>
      <c r="D37" t="s">
        <v>97</v>
      </c>
      <c r="E37" t="s">
        <v>61</v>
      </c>
      <c r="F37" t="s">
        <v>22</v>
      </c>
      <c r="G37" t="s">
        <v>27</v>
      </c>
      <c r="H37" t="str">
        <f>_xlfn.XLOOKUP(ListOfTablesFull[[#This Row],[SignificanceSourceType_sk]],TableSources[Zdroj],TableSources[Source])</f>
        <v>Revenues</v>
      </c>
    </row>
    <row r="38" spans="1:8" x14ac:dyDescent="0.25">
      <c r="A38" t="s">
        <v>91</v>
      </c>
      <c r="B38" t="s">
        <v>113</v>
      </c>
      <c r="C38" t="s">
        <v>111</v>
      </c>
      <c r="D38" t="s">
        <v>97</v>
      </c>
      <c r="E38" t="s">
        <v>74</v>
      </c>
      <c r="F38" t="s">
        <v>23</v>
      </c>
      <c r="G38" t="s">
        <v>56</v>
      </c>
      <c r="H38" t="str">
        <f>_xlfn.XLOOKUP(ListOfTablesFull[[#This Row],[SignificanceSourceType_sk]],TableSources[Zdroj],TableSources[Source])</f>
        <v>ProfitBeforeTax</v>
      </c>
    </row>
    <row r="39" spans="1:8" x14ac:dyDescent="0.25">
      <c r="A39" t="s">
        <v>92</v>
      </c>
      <c r="B39" t="s">
        <v>96</v>
      </c>
      <c r="C39" t="s">
        <v>112</v>
      </c>
      <c r="D39" t="s">
        <v>0</v>
      </c>
      <c r="E39" t="s">
        <v>70</v>
      </c>
      <c r="F39" t="s">
        <v>18</v>
      </c>
      <c r="G39" t="s">
        <v>0</v>
      </c>
      <c r="H39" t="str">
        <f>_xlfn.XLOOKUP(ListOfTablesFull[[#This Row],[SignificanceSourceType_sk]],TableSources[Zdroj],TableSources[Source])</f>
        <v>CostsExpenses</v>
      </c>
    </row>
    <row r="40" spans="1:8" x14ac:dyDescent="0.25">
      <c r="A40" t="s">
        <v>93</v>
      </c>
      <c r="B40" t="s">
        <v>96</v>
      </c>
      <c r="C40" t="s">
        <v>112</v>
      </c>
      <c r="D40" t="s">
        <v>97</v>
      </c>
      <c r="E40" t="s">
        <v>71</v>
      </c>
      <c r="F40" t="s">
        <v>19</v>
      </c>
      <c r="G40" t="s">
        <v>27</v>
      </c>
      <c r="H40" t="str">
        <f>_xlfn.XLOOKUP(ListOfTablesFull[[#This Row],[SignificanceSourceType_sk]],TableSources[Zdroj],TableSources[Source])</f>
        <v>Revenues</v>
      </c>
    </row>
    <row r="41" spans="1:8" x14ac:dyDescent="0.25">
      <c r="A41" t="s">
        <v>93</v>
      </c>
      <c r="B41" t="s">
        <v>96</v>
      </c>
      <c r="C41" t="s">
        <v>112</v>
      </c>
      <c r="D41" t="s">
        <v>97</v>
      </c>
      <c r="E41" t="s">
        <v>72</v>
      </c>
      <c r="F41" t="s">
        <v>9</v>
      </c>
      <c r="G41" t="s">
        <v>56</v>
      </c>
      <c r="H41" t="str">
        <f>_xlfn.XLOOKUP(ListOfTablesFull[[#This Row],[SignificanceSourceType_sk]],TableSources[Zdroj],TableSources[Source])</f>
        <v>ProfitBeforeTax</v>
      </c>
    </row>
  </sheetData>
  <dataValidations disablePrompts="1" count="1">
    <dataValidation type="list" allowBlank="1" showInputMessage="1" showErrorMessage="1" sqref="F5" xr:uid="{FE90B59C-145A-4B22-88D3-196A145A5897}">
      <formula1>SelectionForSource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B25C-4F15-4463-AF50-23CCF95888CE}">
  <dimension ref="A1:H53"/>
  <sheetViews>
    <sheetView zoomScale="80" zoomScaleNormal="80" workbookViewId="0">
      <selection activeCell="A5" sqref="A5"/>
    </sheetView>
  </sheetViews>
  <sheetFormatPr defaultRowHeight="15" x14ac:dyDescent="0.25"/>
  <cols>
    <col min="1" max="1" width="39.7109375" customWidth="1"/>
    <col min="2" max="2" width="20.42578125" customWidth="1"/>
    <col min="3" max="3" width="22.7109375" customWidth="1"/>
    <col min="4" max="4" width="14.28515625" bestFit="1" customWidth="1"/>
    <col min="5" max="5" width="13.85546875" bestFit="1" customWidth="1"/>
    <col min="6" max="6" width="16.28515625" customWidth="1"/>
    <col min="7" max="7" width="15.5703125" customWidth="1"/>
    <col min="8" max="8" width="14.42578125" customWidth="1"/>
  </cols>
  <sheetData>
    <row r="1" spans="1:7" x14ac:dyDescent="0.25">
      <c r="A1" s="1" t="s">
        <v>30</v>
      </c>
      <c r="B1" s="2"/>
      <c r="C1" s="2"/>
    </row>
    <row r="2" spans="1:7" x14ac:dyDescent="0.25">
      <c r="A2" s="3" t="s">
        <v>28</v>
      </c>
      <c r="B2" s="4" t="s">
        <v>31</v>
      </c>
      <c r="C2" s="4" t="s">
        <v>32</v>
      </c>
    </row>
    <row r="3" spans="1:7" x14ac:dyDescent="0.25">
      <c r="A3" s="5" t="s">
        <v>24</v>
      </c>
      <c r="B3" s="6">
        <v>742507.9</v>
      </c>
      <c r="C3" s="6">
        <v>749287.13</v>
      </c>
    </row>
    <row r="4" spans="1:7" x14ac:dyDescent="0.25">
      <c r="A4" s="5" t="s">
        <v>25</v>
      </c>
      <c r="B4" s="6">
        <v>265611.38</v>
      </c>
      <c r="C4" s="6">
        <v>269817.05</v>
      </c>
    </row>
    <row r="5" spans="1:7" x14ac:dyDescent="0.25">
      <c r="A5" s="5" t="s">
        <v>26</v>
      </c>
      <c r="B5" s="6">
        <v>90510.63</v>
      </c>
      <c r="C5" s="6">
        <v>85238.79</v>
      </c>
    </row>
    <row r="6" spans="1:7" x14ac:dyDescent="0.25">
      <c r="A6" s="5" t="s">
        <v>27</v>
      </c>
      <c r="B6" s="6">
        <v>100814.15</v>
      </c>
      <c r="C6" s="6">
        <v>105327.9</v>
      </c>
    </row>
    <row r="7" spans="1:7" x14ac:dyDescent="0.25">
      <c r="A7" t="s">
        <v>0</v>
      </c>
      <c r="B7" s="6">
        <v>85000</v>
      </c>
      <c r="C7" s="6">
        <v>87000</v>
      </c>
    </row>
    <row r="8" spans="1:7" x14ac:dyDescent="0.25">
      <c r="A8" t="s">
        <v>56</v>
      </c>
      <c r="B8" s="6">
        <v>67500</v>
      </c>
      <c r="C8" s="6">
        <v>84000</v>
      </c>
    </row>
    <row r="9" spans="1:7" x14ac:dyDescent="0.25">
      <c r="A9" t="s">
        <v>57</v>
      </c>
      <c r="B9" s="6">
        <v>145000</v>
      </c>
      <c r="C9" s="6">
        <v>135000</v>
      </c>
    </row>
    <row r="11" spans="1:7" x14ac:dyDescent="0.25">
      <c r="A11" s="9" t="s">
        <v>33</v>
      </c>
      <c r="B11" s="7"/>
      <c r="C11" s="7"/>
    </row>
    <row r="12" spans="1:7" ht="15" customHeight="1" x14ac:dyDescent="0.25">
      <c r="A12" s="13"/>
      <c r="B12" s="13"/>
      <c r="C12" s="14" t="s">
        <v>34</v>
      </c>
      <c r="D12" s="14"/>
      <c r="E12" s="13" t="s">
        <v>35</v>
      </c>
      <c r="F12" s="14" t="s">
        <v>36</v>
      </c>
      <c r="G12" s="14"/>
    </row>
    <row r="13" spans="1:7" ht="15" customHeight="1" x14ac:dyDescent="0.25">
      <c r="A13" s="10" t="s">
        <v>28</v>
      </c>
      <c r="B13" s="11" t="s">
        <v>31</v>
      </c>
      <c r="C13" s="11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</row>
    <row r="14" spans="1:7" x14ac:dyDescent="0.25">
      <c r="A14" t="s">
        <v>24</v>
      </c>
      <c r="B14" s="8">
        <f>_xlfn.XLOOKUP(CriticalThreshold[[#This Row],[Zdroj]],ValuesOverview[Zdroj],ValuesOverview[Bežné obdobie])</f>
        <v>742507.9</v>
      </c>
      <c r="C14" s="12">
        <v>0.01</v>
      </c>
      <c r="D14" s="12">
        <v>0.03</v>
      </c>
      <c r="E14" s="12">
        <v>0.01</v>
      </c>
      <c r="F14" s="8">
        <f>CriticalThreshold[[#This Row],[Bežné obdobie]]*CriticalThreshold[[#This Row],[Dolná %]]</f>
        <v>7425.0790000000006</v>
      </c>
      <c r="G14" s="8">
        <f>CriticalThreshold[[#This Row],[Bežné obdobie]]*CriticalThreshold[[#This Row],[Horná %]]</f>
        <v>22275.237000000001</v>
      </c>
    </row>
    <row r="15" spans="1:7" x14ac:dyDescent="0.25">
      <c r="A15" t="s">
        <v>25</v>
      </c>
      <c r="B15" s="8">
        <f>_xlfn.XLOOKUP(CriticalThreshold[[#This Row],[Zdroj]],ValuesOverview[Zdroj],ValuesOverview[Bežné obdobie])</f>
        <v>265611.38</v>
      </c>
      <c r="C15" s="12">
        <v>0.03</v>
      </c>
      <c r="D15" s="12">
        <v>0.05</v>
      </c>
      <c r="E15" s="12">
        <v>0.03</v>
      </c>
      <c r="F15" s="8">
        <f>CriticalThreshold[[#This Row],[Bežné obdobie]]*CriticalThreshold[[#This Row],[Dolná %]]</f>
        <v>7968.3414000000002</v>
      </c>
      <c r="G15" s="8">
        <f>CriticalThreshold[[#This Row],[Bežné obdobie]]*CriticalThreshold[[#This Row],[Horná %]]</f>
        <v>13280.569000000001</v>
      </c>
    </row>
    <row r="16" spans="1:7" x14ac:dyDescent="0.25">
      <c r="A16" t="s">
        <v>26</v>
      </c>
      <c r="B16" s="8">
        <f>_xlfn.XLOOKUP(CriticalThreshold[[#This Row],[Zdroj]],ValuesOverview[Zdroj],ValuesOverview[Bežné obdobie])</f>
        <v>90510.63</v>
      </c>
      <c r="C16" s="12">
        <v>0.03</v>
      </c>
      <c r="D16" s="12">
        <v>7.0000000000000007E-2</v>
      </c>
      <c r="E16" s="12">
        <v>0.01</v>
      </c>
      <c r="F16" s="8">
        <f>CriticalThreshold[[#This Row],[Bežné obdobie]]*CriticalThreshold[[#This Row],[Dolná %]]</f>
        <v>2715.3189000000002</v>
      </c>
      <c r="G16" s="8">
        <f>CriticalThreshold[[#This Row],[Bežné obdobie]]*CriticalThreshold[[#This Row],[Horná %]]</f>
        <v>6335.7441000000008</v>
      </c>
    </row>
    <row r="17" spans="1:8" x14ac:dyDescent="0.25">
      <c r="A17" t="s">
        <v>27</v>
      </c>
      <c r="B17" s="8">
        <f>_xlfn.XLOOKUP(CriticalThreshold[[#This Row],[Zdroj]],ValuesOverview[Zdroj],ValuesOverview[Bežné obdobie])</f>
        <v>100814.15</v>
      </c>
      <c r="C17" s="12">
        <v>0.01</v>
      </c>
      <c r="D17" s="12">
        <v>0.03</v>
      </c>
      <c r="E17" s="12">
        <v>0.03</v>
      </c>
      <c r="F17" s="8">
        <f>CriticalThreshold[[#This Row],[Bežné obdobie]]*CriticalThreshold[[#This Row],[Dolná %]]</f>
        <v>1008.1415</v>
      </c>
      <c r="G17" s="8">
        <f>CriticalThreshold[[#This Row],[Bežné obdobie]]*CriticalThreshold[[#This Row],[Horná %]]</f>
        <v>3024.4244999999996</v>
      </c>
    </row>
    <row r="18" spans="1:8" x14ac:dyDescent="0.25">
      <c r="A18" t="s">
        <v>0</v>
      </c>
      <c r="B18" s="8">
        <f>_xlfn.XLOOKUP(CriticalThreshold[[#This Row],[Zdroj]],ValuesOverview[Zdroj],ValuesOverview[Bežné obdobie])</f>
        <v>85000</v>
      </c>
      <c r="C18" s="12">
        <v>0.02</v>
      </c>
      <c r="D18" s="12">
        <v>0.03</v>
      </c>
      <c r="E18" s="12">
        <v>0.03</v>
      </c>
      <c r="F18" s="8">
        <f>CriticalThreshold[[#This Row],[Bežné obdobie]]*CriticalThreshold[[#This Row],[Dolná %]]</f>
        <v>1700</v>
      </c>
      <c r="G18" s="8">
        <f>CriticalThreshold[[#This Row],[Bežné obdobie]]*CriticalThreshold[[#This Row],[Horná %]]</f>
        <v>2550</v>
      </c>
    </row>
    <row r="19" spans="1:8" x14ac:dyDescent="0.25">
      <c r="A19" t="s">
        <v>56</v>
      </c>
      <c r="B19" s="8">
        <f>_xlfn.XLOOKUP(CriticalThreshold[[#This Row],[Zdroj]],ValuesOverview[Zdroj],ValuesOverview[Bežné obdobie])</f>
        <v>67500</v>
      </c>
      <c r="C19" s="12">
        <v>0.03</v>
      </c>
      <c r="D19" s="12">
        <v>0.04</v>
      </c>
      <c r="E19" s="12">
        <v>0.01</v>
      </c>
      <c r="F19" s="8">
        <f>CriticalThreshold[[#This Row],[Bežné obdobie]]*CriticalThreshold[[#This Row],[Dolná %]]</f>
        <v>2025</v>
      </c>
      <c r="G19" s="8">
        <f>CriticalThreshold[[#This Row],[Bežné obdobie]]*CriticalThreshold[[#This Row],[Horná %]]</f>
        <v>2700</v>
      </c>
    </row>
    <row r="20" spans="1:8" x14ac:dyDescent="0.25">
      <c r="A20" t="s">
        <v>57</v>
      </c>
      <c r="B20" s="8">
        <f>_xlfn.XLOOKUP(CriticalThreshold[[#This Row],[Zdroj]],ValuesOverview[Zdroj],ValuesOverview[Bežné obdobie])</f>
        <v>145000</v>
      </c>
      <c r="C20" s="12">
        <v>0.01</v>
      </c>
      <c r="D20" s="12">
        <v>0.03</v>
      </c>
      <c r="E20" s="12">
        <v>0.03</v>
      </c>
      <c r="F20" s="8">
        <f>CriticalThreshold[[#This Row],[Bežné obdobie]]*CriticalThreshold[[#This Row],[Dolná %]]</f>
        <v>1450</v>
      </c>
      <c r="G20" s="8">
        <f>CriticalThreshold[[#This Row],[Bežné obdobie]]*CriticalThreshold[[#This Row],[Horná %]]</f>
        <v>4350</v>
      </c>
    </row>
    <row r="22" spans="1:8" x14ac:dyDescent="0.25">
      <c r="A22" s="9" t="s">
        <v>42</v>
      </c>
      <c r="B22" s="7"/>
      <c r="C22" s="7"/>
    </row>
    <row r="23" spans="1:8" x14ac:dyDescent="0.25">
      <c r="A23" s="13"/>
      <c r="B23" s="13"/>
      <c r="C23" s="14" t="s">
        <v>34</v>
      </c>
      <c r="D23" s="14"/>
      <c r="E23" s="13" t="s">
        <v>35</v>
      </c>
      <c r="F23" s="14" t="s">
        <v>43</v>
      </c>
      <c r="G23" s="14"/>
      <c r="H23" s="14"/>
    </row>
    <row r="24" spans="1:8" hidden="1" x14ac:dyDescent="0.25">
      <c r="A24" s="16"/>
      <c r="B24" s="16"/>
      <c r="C24" s="17"/>
      <c r="D24" s="17"/>
      <c r="E24" s="16"/>
      <c r="F24" s="18">
        <v>1</v>
      </c>
      <c r="G24" s="19">
        <v>0.5</v>
      </c>
      <c r="H24" s="19">
        <v>0.05</v>
      </c>
    </row>
    <row r="25" spans="1:8" x14ac:dyDescent="0.25">
      <c r="A25" t="s">
        <v>28</v>
      </c>
      <c r="B25" s="7" t="s">
        <v>31</v>
      </c>
      <c r="C25" s="7" t="s">
        <v>37</v>
      </c>
      <c r="D25" t="s">
        <v>38</v>
      </c>
      <c r="E25" t="s">
        <v>39</v>
      </c>
      <c r="F25" s="15" t="s">
        <v>44</v>
      </c>
      <c r="G25" s="15" t="s">
        <v>46</v>
      </c>
      <c r="H25" s="15" t="s">
        <v>47</v>
      </c>
    </row>
    <row r="26" spans="1:8" x14ac:dyDescent="0.25">
      <c r="A26" t="s">
        <v>24</v>
      </c>
      <c r="B26" s="8">
        <f>_xlfn.XLOOKUP(SignificanceCurrentYear[[#This Row],[Zdroj]],ValuesOverview[Zdroj],ValuesOverview[Bežné obdobie])</f>
        <v>742507.9</v>
      </c>
      <c r="C26" s="12">
        <v>0.01</v>
      </c>
      <c r="D26" s="12">
        <v>0.03</v>
      </c>
      <c r="E26" s="12">
        <v>0.02</v>
      </c>
      <c r="F26" s="8">
        <f>SignificanceCurrentYear[[#This Row],[Kritická]]*SignificanceCurrentYear[[#This Row],[Bežné obdobie]]*F$24</f>
        <v>14850.158000000001</v>
      </c>
      <c r="G26" s="8">
        <f>SignificanceCurrentYear[[#This Row],[Kritická]]*SignificanceCurrentYear[[#This Row],[Bežné obdobie]]*G$24</f>
        <v>7425.0790000000006</v>
      </c>
      <c r="H26" s="8">
        <f>SignificanceCurrentYear[[#This Row],[Kritická]]*SignificanceCurrentYear[[#This Row],[Bežné obdobie]]*H$24</f>
        <v>742.50790000000006</v>
      </c>
    </row>
    <row r="27" spans="1:8" x14ac:dyDescent="0.25">
      <c r="A27" t="s">
        <v>25</v>
      </c>
      <c r="B27" s="8">
        <f>_xlfn.XLOOKUP(SignificanceCurrentYear[[#This Row],[Zdroj]],ValuesOverview[Zdroj],ValuesOverview[Bežné obdobie])</f>
        <v>265611.38</v>
      </c>
      <c r="C27" s="12">
        <v>0.01</v>
      </c>
      <c r="D27" s="12">
        <v>0.03</v>
      </c>
      <c r="E27" s="12">
        <v>0.02</v>
      </c>
      <c r="F27" s="8">
        <f>SignificanceCurrentYear[[#This Row],[Kritická]]*SignificanceCurrentYear[[#This Row],[Bežné obdobie]]*F$24</f>
        <v>5312.2276000000002</v>
      </c>
      <c r="G27" s="8">
        <f>SignificanceCurrentYear[[#This Row],[Kritická]]*SignificanceCurrentYear[[#This Row],[Bežné obdobie]]*G$24</f>
        <v>2656.1138000000001</v>
      </c>
      <c r="H27" s="8">
        <f>SignificanceCurrentYear[[#This Row],[Kritická]]*SignificanceCurrentYear[[#This Row],[Bežné obdobie]]*H$24</f>
        <v>265.61138</v>
      </c>
    </row>
    <row r="28" spans="1:8" x14ac:dyDescent="0.25">
      <c r="A28" t="s">
        <v>26</v>
      </c>
      <c r="B28" s="8">
        <f>_xlfn.XLOOKUP(SignificanceCurrentYear[[#This Row],[Zdroj]],ValuesOverview[Zdroj],ValuesOverview[Bežné obdobie])</f>
        <v>90510.63</v>
      </c>
      <c r="C28" s="12">
        <v>0.03</v>
      </c>
      <c r="D28" s="12">
        <v>7.0000000000000007E-2</v>
      </c>
      <c r="E28" s="12">
        <v>0.03</v>
      </c>
      <c r="F28" s="8">
        <f>SignificanceCurrentYear[[#This Row],[Kritická]]*SignificanceCurrentYear[[#This Row],[Bežné obdobie]]*F$24</f>
        <v>2715.3189000000002</v>
      </c>
      <c r="G28" s="8">
        <f>SignificanceCurrentYear[[#This Row],[Kritická]]*SignificanceCurrentYear[[#This Row],[Bežné obdobie]]*G$24</f>
        <v>1357.6594500000001</v>
      </c>
      <c r="H28" s="8">
        <f>SignificanceCurrentYear[[#This Row],[Kritická]]*SignificanceCurrentYear[[#This Row],[Bežné obdobie]]*H$24</f>
        <v>135.76594500000002</v>
      </c>
    </row>
    <row r="29" spans="1:8" x14ac:dyDescent="0.25">
      <c r="A29" t="s">
        <v>27</v>
      </c>
      <c r="B29" s="8">
        <f>_xlfn.XLOOKUP(SignificanceCurrentYear[[#This Row],[Zdroj]],ValuesOverview[Zdroj],ValuesOverview[Bežné obdobie])</f>
        <v>100814.15</v>
      </c>
      <c r="C29" s="12">
        <v>0.03</v>
      </c>
      <c r="D29" s="12">
        <v>0.05</v>
      </c>
      <c r="E29" s="12">
        <v>0.03</v>
      </c>
      <c r="F29" s="8">
        <f>SignificanceCurrentYear[[#This Row],[Kritická]]*SignificanceCurrentYear[[#This Row],[Bežné obdobie]]*F$24</f>
        <v>3024.4244999999996</v>
      </c>
      <c r="G29" s="8">
        <f>SignificanceCurrentYear[[#This Row],[Kritická]]*SignificanceCurrentYear[[#This Row],[Bežné obdobie]]*G$24</f>
        <v>1512.2122499999998</v>
      </c>
      <c r="H29" s="8">
        <f>SignificanceCurrentYear[[#This Row],[Kritická]]*SignificanceCurrentYear[[#This Row],[Bežné obdobie]]*H$24</f>
        <v>151.22122499999998</v>
      </c>
    </row>
    <row r="30" spans="1:8" x14ac:dyDescent="0.25">
      <c r="A30" t="s">
        <v>0</v>
      </c>
      <c r="B30" s="8">
        <f>_xlfn.XLOOKUP(SignificanceCurrentYear[[#This Row],[Zdroj]],ValuesOverview[Zdroj],ValuesOverview[Bežné obdobie])</f>
        <v>85000</v>
      </c>
      <c r="C30" s="12">
        <v>0.02</v>
      </c>
      <c r="D30" s="12">
        <v>0.03</v>
      </c>
      <c r="E30" s="12">
        <v>0.03</v>
      </c>
      <c r="F30" s="8">
        <f>SignificanceCurrentYear[[#This Row],[Kritická]]*SignificanceCurrentYear[[#This Row],[Bežné obdobie]]*F$24</f>
        <v>2550</v>
      </c>
      <c r="G30" s="8">
        <f>SignificanceCurrentYear[[#This Row],[Kritická]]*SignificanceCurrentYear[[#This Row],[Bežné obdobie]]*G$24</f>
        <v>1275</v>
      </c>
      <c r="H30" s="8">
        <f>SignificanceCurrentYear[[#This Row],[Kritická]]*SignificanceCurrentYear[[#This Row],[Bežné obdobie]]*H$24</f>
        <v>127.5</v>
      </c>
    </row>
    <row r="31" spans="1:8" x14ac:dyDescent="0.25">
      <c r="A31" t="s">
        <v>56</v>
      </c>
      <c r="B31" s="8">
        <f>_xlfn.XLOOKUP(SignificanceCurrentYear[[#This Row],[Zdroj]],ValuesOverview[Zdroj],ValuesOverview[Bežné obdobie])</f>
        <v>67500</v>
      </c>
      <c r="C31" s="12">
        <v>0.03</v>
      </c>
      <c r="D31" s="12">
        <v>0.04</v>
      </c>
      <c r="E31" s="12">
        <v>0.01</v>
      </c>
      <c r="F31" s="8">
        <f>SignificanceCurrentYear[[#This Row],[Kritická]]*SignificanceCurrentYear[[#This Row],[Bežné obdobie]]*F$24</f>
        <v>675</v>
      </c>
      <c r="G31" s="8">
        <f>SignificanceCurrentYear[[#This Row],[Kritická]]*SignificanceCurrentYear[[#This Row],[Bežné obdobie]]*G$24</f>
        <v>337.5</v>
      </c>
      <c r="H31" s="8">
        <f>SignificanceCurrentYear[[#This Row],[Kritická]]*SignificanceCurrentYear[[#This Row],[Bežné obdobie]]*H$24</f>
        <v>33.75</v>
      </c>
    </row>
    <row r="32" spans="1:8" x14ac:dyDescent="0.25">
      <c r="A32" t="s">
        <v>57</v>
      </c>
      <c r="B32" s="8">
        <f>_xlfn.XLOOKUP(SignificanceCurrentYear[[#This Row],[Zdroj]],ValuesOverview[Zdroj],ValuesOverview[Bežné obdobie])</f>
        <v>145000</v>
      </c>
      <c r="C32" s="12">
        <v>0.01</v>
      </c>
      <c r="D32" s="12">
        <v>0.03</v>
      </c>
      <c r="E32" s="12">
        <v>0.03</v>
      </c>
      <c r="F32" s="8">
        <f>SignificanceCurrentYear[[#This Row],[Kritická]]*SignificanceCurrentYear[[#This Row],[Bežné obdobie]]*F$24</f>
        <v>4350</v>
      </c>
      <c r="G32" s="8">
        <f>SignificanceCurrentYear[[#This Row],[Kritická]]*SignificanceCurrentYear[[#This Row],[Bežné obdobie]]*G$24</f>
        <v>2175</v>
      </c>
      <c r="H32" s="8">
        <f>SignificanceCurrentYear[[#This Row],[Kritická]]*SignificanceCurrentYear[[#This Row],[Bežné obdobie]]*H$24</f>
        <v>217.5</v>
      </c>
    </row>
    <row r="34" spans="1:8" x14ac:dyDescent="0.25">
      <c r="A34" s="9" t="s">
        <v>45</v>
      </c>
      <c r="B34" s="7"/>
      <c r="C34" s="7"/>
    </row>
    <row r="35" spans="1:8" x14ac:dyDescent="0.25">
      <c r="A35" s="13"/>
      <c r="B35" s="13"/>
      <c r="C35" s="14" t="s">
        <v>34</v>
      </c>
      <c r="D35" s="14"/>
      <c r="E35" s="13" t="s">
        <v>35</v>
      </c>
      <c r="F35" s="14" t="s">
        <v>43</v>
      </c>
      <c r="G35" s="14"/>
      <c r="H35" s="14"/>
    </row>
    <row r="36" spans="1:8" hidden="1" x14ac:dyDescent="0.25">
      <c r="A36" s="16"/>
      <c r="B36" s="16"/>
      <c r="C36" s="17"/>
      <c r="D36" s="17"/>
      <c r="E36" s="16"/>
      <c r="F36" s="18">
        <v>1</v>
      </c>
      <c r="G36" s="19">
        <v>0.5</v>
      </c>
      <c r="H36" s="19">
        <v>0.05</v>
      </c>
    </row>
    <row r="37" spans="1:8" x14ac:dyDescent="0.25">
      <c r="A37" t="s">
        <v>28</v>
      </c>
      <c r="B37" s="7" t="s">
        <v>31</v>
      </c>
      <c r="C37" s="7" t="s">
        <v>37</v>
      </c>
      <c r="D37" t="s">
        <v>38</v>
      </c>
      <c r="E37" t="s">
        <v>39</v>
      </c>
      <c r="F37" s="15" t="s">
        <v>44</v>
      </c>
      <c r="G37" s="15" t="s">
        <v>46</v>
      </c>
      <c r="H37" s="15" t="s">
        <v>47</v>
      </c>
    </row>
    <row r="38" spans="1:8" x14ac:dyDescent="0.25">
      <c r="A38" t="s">
        <v>24</v>
      </c>
      <c r="B38" s="8">
        <f>_xlfn.XLOOKUP(SignificancePreviousYear[[#This Row],[Zdroj]],ValuesOverview[Zdroj],ValuesOverview[Predchádzajúce obdobie])</f>
        <v>749287.13</v>
      </c>
      <c r="C38" s="12">
        <v>0.01</v>
      </c>
      <c r="D38" s="12">
        <v>0.03</v>
      </c>
      <c r="E38" s="12">
        <v>0.02</v>
      </c>
      <c r="F38" s="8">
        <f>SignificancePreviousYear[[#This Row],[Kritická]]*SignificancePreviousYear[[#This Row],[Bežné obdobie]]*F$36</f>
        <v>14985.7426</v>
      </c>
      <c r="G38" s="8">
        <f>SignificancePreviousYear[[#This Row],[Kritická]]*SignificancePreviousYear[[#This Row],[Bežné obdobie]]*G$36</f>
        <v>7492.8712999999998</v>
      </c>
      <c r="H38" s="8">
        <f>SignificancePreviousYear[[#This Row],[Kritická]]*SignificancePreviousYear[[#This Row],[Bežné obdobie]]*H$36</f>
        <v>749.28713000000005</v>
      </c>
    </row>
    <row r="39" spans="1:8" x14ac:dyDescent="0.25">
      <c r="A39" t="s">
        <v>25</v>
      </c>
      <c r="B39" s="8">
        <f>_xlfn.XLOOKUP(SignificancePreviousYear[[#This Row],[Zdroj]],ValuesOverview[Zdroj],ValuesOverview[Predchádzajúce obdobie])</f>
        <v>269817.05</v>
      </c>
      <c r="C39" s="12">
        <v>0.01</v>
      </c>
      <c r="D39" s="12">
        <v>0.03</v>
      </c>
      <c r="E39" s="12">
        <v>0.02</v>
      </c>
      <c r="F39" s="8">
        <f>SignificancePreviousYear[[#This Row],[Kritická]]*SignificancePreviousYear[[#This Row],[Bežné obdobie]]*F$36</f>
        <v>5396.3409999999994</v>
      </c>
      <c r="G39" s="8">
        <f>SignificancePreviousYear[[#This Row],[Kritická]]*SignificancePreviousYear[[#This Row],[Bežné obdobie]]*G$36</f>
        <v>2698.1704999999997</v>
      </c>
      <c r="H39" s="8">
        <f>SignificancePreviousYear[[#This Row],[Kritická]]*SignificancePreviousYear[[#This Row],[Bežné obdobie]]*H$36</f>
        <v>269.81704999999999</v>
      </c>
    </row>
    <row r="40" spans="1:8" x14ac:dyDescent="0.25">
      <c r="A40" t="s">
        <v>26</v>
      </c>
      <c r="B40" s="8">
        <f>_xlfn.XLOOKUP(SignificancePreviousYear[[#This Row],[Zdroj]],ValuesOverview[Zdroj],ValuesOverview[Predchádzajúce obdobie])</f>
        <v>85238.79</v>
      </c>
      <c r="C40" s="12">
        <v>0.03</v>
      </c>
      <c r="D40" s="12">
        <v>7.0000000000000007E-2</v>
      </c>
      <c r="E40" s="12">
        <v>0.03</v>
      </c>
      <c r="F40" s="8">
        <f>SignificancePreviousYear[[#This Row],[Kritická]]*SignificancePreviousYear[[#This Row],[Bežné obdobie]]*F$36</f>
        <v>2557.1636999999996</v>
      </c>
      <c r="G40" s="8">
        <f>SignificancePreviousYear[[#This Row],[Kritická]]*SignificancePreviousYear[[#This Row],[Bežné obdobie]]*G$36</f>
        <v>1278.5818499999998</v>
      </c>
      <c r="H40" s="8">
        <f>SignificancePreviousYear[[#This Row],[Kritická]]*SignificancePreviousYear[[#This Row],[Bežné obdobie]]*H$36</f>
        <v>127.85818499999999</v>
      </c>
    </row>
    <row r="41" spans="1:8" x14ac:dyDescent="0.25">
      <c r="A41" t="s">
        <v>27</v>
      </c>
      <c r="B41" s="8">
        <f>_xlfn.XLOOKUP(SignificancePreviousYear[[#This Row],[Zdroj]],ValuesOverview[Zdroj],ValuesOverview[Predchádzajúce obdobie])</f>
        <v>105327.9</v>
      </c>
      <c r="C41" s="12">
        <v>0.03</v>
      </c>
      <c r="D41" s="12">
        <v>0.05</v>
      </c>
      <c r="E41" s="12">
        <v>0.03</v>
      </c>
      <c r="F41" s="8">
        <f>SignificancePreviousYear[[#This Row],[Kritická]]*SignificancePreviousYear[[#This Row],[Bežné obdobie]]*F$36</f>
        <v>3159.8369999999995</v>
      </c>
      <c r="G41" s="8">
        <f>SignificancePreviousYear[[#This Row],[Kritická]]*SignificancePreviousYear[[#This Row],[Bežné obdobie]]*G$36</f>
        <v>1579.9184999999998</v>
      </c>
      <c r="H41" s="8">
        <f>SignificancePreviousYear[[#This Row],[Kritická]]*SignificancePreviousYear[[#This Row],[Bežné obdobie]]*H$36</f>
        <v>157.99185</v>
      </c>
    </row>
    <row r="42" spans="1:8" x14ac:dyDescent="0.25">
      <c r="A42" t="s">
        <v>0</v>
      </c>
      <c r="B42" s="8">
        <f>_xlfn.XLOOKUP(SignificancePreviousYear[[#This Row],[Zdroj]],ValuesOverview[Zdroj],ValuesOverview[Predchádzajúce obdobie])</f>
        <v>87000</v>
      </c>
      <c r="C42" s="12">
        <v>0.02</v>
      </c>
      <c r="D42" s="12">
        <v>0.03</v>
      </c>
      <c r="E42" s="12">
        <v>0.03</v>
      </c>
      <c r="F42" s="8">
        <f>SignificancePreviousYear[[#This Row],[Kritická]]*SignificancePreviousYear[[#This Row],[Bežné obdobie]]*F$36</f>
        <v>2610</v>
      </c>
      <c r="G42" s="8">
        <f>SignificancePreviousYear[[#This Row],[Kritická]]*SignificancePreviousYear[[#This Row],[Bežné obdobie]]*G$36</f>
        <v>1305</v>
      </c>
      <c r="H42" s="8">
        <f>SignificancePreviousYear[[#This Row],[Kritická]]*SignificancePreviousYear[[#This Row],[Bežné obdobie]]*H$36</f>
        <v>130.5</v>
      </c>
    </row>
    <row r="43" spans="1:8" x14ac:dyDescent="0.25">
      <c r="A43" t="s">
        <v>56</v>
      </c>
      <c r="B43" s="8">
        <f>_xlfn.XLOOKUP(SignificancePreviousYear[[#This Row],[Zdroj]],ValuesOverview[Zdroj],ValuesOverview[Predchádzajúce obdobie])</f>
        <v>84000</v>
      </c>
      <c r="C43" s="12">
        <v>0.03</v>
      </c>
      <c r="D43" s="12">
        <v>0.04</v>
      </c>
      <c r="E43" s="12">
        <v>0.01</v>
      </c>
      <c r="F43" s="8">
        <f>SignificancePreviousYear[[#This Row],[Kritická]]*SignificancePreviousYear[[#This Row],[Bežné obdobie]]*F$36</f>
        <v>840</v>
      </c>
      <c r="G43" s="8">
        <f>SignificancePreviousYear[[#This Row],[Kritická]]*SignificancePreviousYear[[#This Row],[Bežné obdobie]]*G$36</f>
        <v>420</v>
      </c>
      <c r="H43" s="8">
        <f>SignificancePreviousYear[[#This Row],[Kritická]]*SignificancePreviousYear[[#This Row],[Bežné obdobie]]*H$36</f>
        <v>42</v>
      </c>
    </row>
    <row r="44" spans="1:8" x14ac:dyDescent="0.25">
      <c r="A44" t="s">
        <v>57</v>
      </c>
      <c r="B44" s="8">
        <f>_xlfn.XLOOKUP(SignificancePreviousYear[[#This Row],[Zdroj]],ValuesOverview[Zdroj],ValuesOverview[Predchádzajúce obdobie])</f>
        <v>135000</v>
      </c>
      <c r="C44" s="12">
        <v>0.01</v>
      </c>
      <c r="D44" s="12">
        <v>0.03</v>
      </c>
      <c r="E44" s="12">
        <v>0.03</v>
      </c>
      <c r="F44" s="8">
        <f>SignificancePreviousYear[[#This Row],[Kritická]]*SignificancePreviousYear[[#This Row],[Bežné obdobie]]*F$36</f>
        <v>4050</v>
      </c>
      <c r="G44" s="8">
        <f>SignificancePreviousYear[[#This Row],[Kritická]]*SignificancePreviousYear[[#This Row],[Bežné obdobie]]*G$36</f>
        <v>2025</v>
      </c>
      <c r="H44" s="8">
        <f>SignificancePreviousYear[[#This Row],[Kritická]]*SignificancePreviousYear[[#This Row],[Bežné obdobie]]*H$36</f>
        <v>202.5</v>
      </c>
    </row>
    <row r="47" spans="1:8" x14ac:dyDescent="0.25">
      <c r="A47" s="22" t="s">
        <v>48</v>
      </c>
      <c r="B47" s="23" t="s">
        <v>54</v>
      </c>
    </row>
    <row r="48" spans="1:8" x14ac:dyDescent="0.25">
      <c r="A48" s="20" t="s">
        <v>49</v>
      </c>
      <c r="B48" t="s">
        <v>25</v>
      </c>
    </row>
    <row r="49" spans="1:2" x14ac:dyDescent="0.25">
      <c r="A49" s="21" t="s">
        <v>50</v>
      </c>
      <c r="B49" s="8" cm="1">
        <f t="array" ref="B49">_xlfn.XLOOKUP(SelectedSignificance,SignificanceCurrentYear[Zdroj],SignificanceCurrentYear[Kritická 100%])</f>
        <v>5312.2276000000002</v>
      </c>
    </row>
    <row r="50" spans="1:2" x14ac:dyDescent="0.25">
      <c r="A50" s="20" t="s">
        <v>51</v>
      </c>
      <c r="B50" s="12">
        <v>0.02</v>
      </c>
    </row>
    <row r="51" spans="1:2" x14ac:dyDescent="0.25">
      <c r="A51" s="21" t="s">
        <v>52</v>
      </c>
      <c r="B51" s="24">
        <f>_xlfn.XLOOKUP(SelectedSignificance,SignificanceCurrentYear[Zdroj],SignificanceCurrentYear[Kritická 5%])</f>
        <v>265.61138</v>
      </c>
    </row>
    <row r="52" spans="1:2" x14ac:dyDescent="0.25">
      <c r="A52" s="20" t="s">
        <v>55</v>
      </c>
      <c r="B52" s="12">
        <v>0.5</v>
      </c>
    </row>
    <row r="53" spans="1:2" x14ac:dyDescent="0.25">
      <c r="A53" s="21" t="s">
        <v>53</v>
      </c>
      <c r="B53" s="25">
        <f>VyznamnostPercent*Hodnota</f>
        <v>2656.1138000000001</v>
      </c>
    </row>
  </sheetData>
  <dataValidations disablePrompts="1" count="2">
    <dataValidation type="list" allowBlank="1" showInputMessage="1" showErrorMessage="1" sqref="B48" xr:uid="{46AF02F7-4C0F-463D-A004-5DD7A178F3D7}">
      <formula1>ValidateSource</formula1>
    </dataValidation>
    <dataValidation type="decimal" allowBlank="1" showInputMessage="1" showErrorMessage="1" sqref="B52" xr:uid="{8C43B8D9-E608-4CD2-9A1D-6BC417C9A082}">
      <formula1>0.5</formula1>
      <formula2>0.75</formula2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362566-49B9-42C5-A156-D1E363487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Metadata</vt:lpstr>
      <vt:lpstr>ISA320</vt:lpstr>
      <vt:lpstr>Hodnota</vt:lpstr>
      <vt:lpstr>SelectedSignificance</vt:lpstr>
      <vt:lpstr>SelectionForSource</vt:lpstr>
      <vt:lpstr>ValidateSource</vt:lpstr>
      <vt:lpstr>VyznamnostPercent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Vlado Bošnjakovič</dc:creator>
  <cp:lastModifiedBy>Vlado Bošnjakovič</cp:lastModifiedBy>
  <dcterms:created xsi:type="dcterms:W3CDTF">2026-09-24T08:52:06Z</dcterms:created>
  <dcterms:modified xsi:type="dcterms:W3CDTF">2026-10-07T09:29:40Z</dcterms:modified>
</cp:coreProperties>
</file>